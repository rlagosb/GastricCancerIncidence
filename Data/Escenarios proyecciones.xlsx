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enel\Downloads\"/>
    </mc:Choice>
  </mc:AlternateContent>
  <xr:revisionPtr revIDLastSave="0" documentId="13_ncr:1_{8B9233A5-7A2C-4660-9A00-1AB01253422B}" xr6:coauthVersionLast="47" xr6:coauthVersionMax="47" xr10:uidLastSave="{00000000-0000-0000-0000-000000000000}"/>
  <bookViews>
    <workbookView xWindow="2730" yWindow="2730" windowWidth="14430" windowHeight="10905" activeTab="1" xr2:uid="{00000000-000D-0000-FFFF-FFFF00000000}"/>
  </bookViews>
  <sheets>
    <sheet name="Escenarios" sheetId="1" r:id="rId1"/>
    <sheet name="Periodos RP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39p3sE5mVZKGPEGzuX8uZZ58Lf7mdnL2m2tnznddP0="/>
    </ext>
  </extLst>
</workbook>
</file>

<file path=xl/calcChain.xml><?xml version="1.0" encoding="utf-8"?>
<calcChain xmlns="http://schemas.openxmlformats.org/spreadsheetml/2006/main">
  <c r="F13" i="1" l="1"/>
  <c r="B13" i="1" s="1"/>
  <c r="F12" i="1"/>
  <c r="B12" i="1"/>
  <c r="F11" i="1"/>
  <c r="B11" i="1"/>
  <c r="F10" i="1"/>
  <c r="B10" i="1"/>
  <c r="F9" i="1"/>
  <c r="B9" i="1" s="1"/>
  <c r="F8" i="1"/>
  <c r="B8" i="1"/>
  <c r="F7" i="1"/>
  <c r="B7" i="1"/>
  <c r="F6" i="1"/>
  <c r="B6" i="1"/>
  <c r="F5" i="1"/>
  <c r="B5" i="1"/>
  <c r="F4" i="1"/>
  <c r="B4" i="1"/>
  <c r="F3" i="1"/>
  <c r="B3" i="1"/>
  <c r="F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color theme="1"/>
            <rFont val="Aptos Narrow"/>
            <scheme val="minor"/>
          </rPr>
          <t>Validación cruzada con periodos de entrenamiento distintos
======</t>
        </r>
      </text>
    </comment>
    <comment ref="A14" authorId="0" shapeId="0" xr:uid="{00000000-0006-0000-0000-000002000000}">
      <text>
        <r>
          <rPr>
            <sz val="11"/>
            <color theme="1"/>
            <rFont val="Aptos Narrow"/>
            <scheme val="minor"/>
          </rPr>
          <t>Evaluación RPCs con periodos de entrenamiento distintos
======</t>
        </r>
      </text>
    </comment>
    <comment ref="A15" authorId="0" shapeId="0" xr:uid="{00000000-0006-0000-0000-000003000000}">
      <text>
        <r>
          <rPr>
            <sz val="11"/>
            <color theme="1"/>
            <rFont val="Aptos Narrow"/>
            <scheme val="minor"/>
          </rPr>
          <t>Proyección Chile con periodos de entrenamiento distintos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200-000001000000}">
      <text>
        <r>
          <rPr>
            <sz val="11"/>
            <color theme="1"/>
            <rFont val="Aptos Narrow"/>
            <scheme val="minor"/>
          </rPr>
          <t>Inicio GES 27
https://revistasaludpublica.uchile.cl/index.php/RCSP/article/view/2902
https://gastrolat.org/DOI/PDF/10.0716/gastrolat2019s1000.04.pdf
======</t>
        </r>
      </text>
    </comment>
    <comment ref="A13" authorId="0" shapeId="0" xr:uid="{00000000-0006-0000-0200-000002000000}">
      <text>
        <r>
          <rPr>
            <sz val="11"/>
            <color theme="1"/>
            <rFont val="Aptos Narrow"/>
            <scheme val="minor"/>
          </rPr>
          <t>Inicio GES80 
https://www.superdesalud.gob.cl/noticias/2013/02/11-nuevas-patologias-ingresan-al-plan-auge/
======</t>
        </r>
      </text>
    </comment>
  </commentList>
</comments>
</file>

<file path=xl/sharedStrings.xml><?xml version="1.0" encoding="utf-8"?>
<sst xmlns="http://schemas.openxmlformats.org/spreadsheetml/2006/main" count="113" uniqueCount="50">
  <si>
    <t>Tipo</t>
  </si>
  <si>
    <t>Escenario</t>
  </si>
  <si>
    <t>Periodo training</t>
  </si>
  <si>
    <t>Provincias training</t>
  </si>
  <si>
    <t>Periodo testing</t>
  </si>
  <si>
    <t>Provincias testing</t>
  </si>
  <si>
    <t>Provincia</t>
  </si>
  <si>
    <t>Nombre Provincia</t>
  </si>
  <si>
    <t>RPC</t>
  </si>
  <si>
    <t>Nombre RPC</t>
  </si>
  <si>
    <t>Evaluacion</t>
  </si>
  <si>
    <t>[2002,2019]</t>
  </si>
  <si>
    <t>21,23,81,83,141,142,151,71,72,73,74</t>
  </si>
  <si>
    <t>El Loa</t>
  </si>
  <si>
    <t>Antofagasta</t>
  </si>
  <si>
    <t>22,23,81,83,141,142,151,71,72,73,74</t>
  </si>
  <si>
    <t>22,21,81,83,141,142,151,71,72,73,74</t>
  </si>
  <si>
    <t>Tocopilla</t>
  </si>
  <si>
    <t>22,21,23,83,141,142,151,71,72,73,74</t>
  </si>
  <si>
    <t>Concepción</t>
  </si>
  <si>
    <t>Provincia de Concepción</t>
  </si>
  <si>
    <t>22,21,23,81,141,142,151,71,72,73,74</t>
  </si>
  <si>
    <t>Bíobío</t>
  </si>
  <si>
    <t>Provincia de Biobío</t>
  </si>
  <si>
    <t>22,21,23,81,83,142,151,71,72,73,74</t>
  </si>
  <si>
    <t>Valdivia</t>
  </si>
  <si>
    <t>Los Ríos</t>
  </si>
  <si>
    <t>22,21,23,81,83,141,151,71,72,73,74</t>
  </si>
  <si>
    <t>Ranco</t>
  </si>
  <si>
    <t>22,21,23,81,83,141,142,71,72,73,74</t>
  </si>
  <si>
    <t>Arica</t>
  </si>
  <si>
    <t>Arica y Parinacota</t>
  </si>
  <si>
    <t>22,21,23,81,83,141,142,151,72,73,74</t>
  </si>
  <si>
    <t>Talca</t>
  </si>
  <si>
    <t>Maule</t>
  </si>
  <si>
    <t>22,21,23,81,83,141,142,151,71,73,74</t>
  </si>
  <si>
    <t>Cauquenes</t>
  </si>
  <si>
    <t>22,21,23,81,83,141,142,151,71,72,74</t>
  </si>
  <si>
    <t>Curicó</t>
  </si>
  <si>
    <t>22,21,23,81,83,141,142,151,71,72,73</t>
  </si>
  <si>
    <t>Linares</t>
  </si>
  <si>
    <t>Escenario1</t>
  </si>
  <si>
    <t>22,21,23,81,83,141,142,151,71,72,73,74</t>
  </si>
  <si>
    <t>Todos</t>
  </si>
  <si>
    <t>Proyeccion</t>
  </si>
  <si>
    <t>Chile</t>
  </si>
  <si>
    <t>[2002,2024]</t>
  </si>
  <si>
    <t>11,14,31,32,33,41,42,43,51,52,53,54,55,56,57,58,61,62,63,91,92,101,102,103,104,111,112,113,114,121,123,124,131,132,133,134,135,136,152,161,162,163,21,22,23,81,82,83,141,142,151,71,72,73,74</t>
  </si>
  <si>
    <t>Todas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</si>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</sst>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  <scheme val="minor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5" fillId="0" borderId="0" xfId="0" applyFont="1"/>
    <xf numFmtId="0" fontId="1" fillId="3" borderId="0" xfId="0" applyFont="1" applyFill="1"/>
    <xf numFmtId="0" fontId="6" fillId="0" borderId="0" xfId="0" applyFont="1"/>
    <xf numFmtId="0" fontId="3" fillId="4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5"/>
  <sheetViews>
    <sheetView workbookViewId="0"/>
  </sheetViews>
  <sheetFormatPr baseColWidth="10" defaultColWidth="12.5703125" defaultRowHeight="15" customHeight="1" x14ac:dyDescent="0.25"/>
  <cols>
    <col min="1" max="1" width="10.140625" customWidth="1"/>
    <col min="2" max="2" width="11.85546875" customWidth="1"/>
    <col min="3" max="3" width="13.85546875" customWidth="1"/>
    <col min="4" max="4" width="31.140625" customWidth="1"/>
    <col min="5" max="5" width="13.28515625" customWidth="1"/>
    <col min="6" max="6" width="15.42578125" customWidth="1"/>
    <col min="7" max="7" width="8.42578125" customWidth="1"/>
    <col min="8" max="8" width="15.5703125" customWidth="1"/>
    <col min="9" max="9" width="5.85546875" customWidth="1"/>
    <col min="10" max="10" width="13.7109375" customWidth="1"/>
    <col min="11" max="20" width="10.5703125" customWidth="1"/>
  </cols>
  <sheetData>
    <row r="1" spans="1:10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3.5" customHeight="1" x14ac:dyDescent="0.25">
      <c r="A2" s="1" t="s">
        <v>10</v>
      </c>
      <c r="B2" s="2" t="str">
        <f t="shared" ref="B2:B13" si="0">"Escenario"&amp;F2</f>
        <v>Escenario22</v>
      </c>
      <c r="C2" s="1" t="s">
        <v>11</v>
      </c>
      <c r="D2" s="3" t="s">
        <v>12</v>
      </c>
      <c r="E2" s="1" t="s">
        <v>11</v>
      </c>
      <c r="F2" s="4">
        <f t="shared" ref="F2:F13" si="1">G2</f>
        <v>22</v>
      </c>
      <c r="G2" s="2">
        <v>22</v>
      </c>
      <c r="H2" s="2" t="s">
        <v>13</v>
      </c>
      <c r="I2" s="2">
        <v>1</v>
      </c>
      <c r="J2" s="2" t="s">
        <v>14</v>
      </c>
    </row>
    <row r="3" spans="1:10" ht="13.5" customHeight="1" x14ac:dyDescent="0.25">
      <c r="A3" s="1" t="s">
        <v>10</v>
      </c>
      <c r="B3" s="2" t="str">
        <f t="shared" si="0"/>
        <v>Escenario21</v>
      </c>
      <c r="C3" s="1" t="s">
        <v>11</v>
      </c>
      <c r="D3" s="3" t="s">
        <v>15</v>
      </c>
      <c r="E3" s="1" t="s">
        <v>11</v>
      </c>
      <c r="F3" s="4">
        <f t="shared" si="1"/>
        <v>21</v>
      </c>
      <c r="G3" s="2">
        <v>21</v>
      </c>
      <c r="H3" s="2" t="s">
        <v>14</v>
      </c>
      <c r="I3" s="2">
        <v>1</v>
      </c>
      <c r="J3" s="2" t="s">
        <v>14</v>
      </c>
    </row>
    <row r="4" spans="1:10" ht="13.5" customHeight="1" x14ac:dyDescent="0.25">
      <c r="A4" s="1" t="s">
        <v>10</v>
      </c>
      <c r="B4" s="2" t="str">
        <f t="shared" si="0"/>
        <v>Escenario23</v>
      </c>
      <c r="C4" s="1" t="s">
        <v>11</v>
      </c>
      <c r="D4" s="3" t="s">
        <v>16</v>
      </c>
      <c r="E4" s="1" t="s">
        <v>11</v>
      </c>
      <c r="F4" s="4">
        <f t="shared" si="1"/>
        <v>23</v>
      </c>
      <c r="G4" s="2">
        <v>23</v>
      </c>
      <c r="H4" s="2" t="s">
        <v>17</v>
      </c>
      <c r="I4" s="2">
        <v>1</v>
      </c>
      <c r="J4" s="2" t="s">
        <v>14</v>
      </c>
    </row>
    <row r="5" spans="1:10" ht="13.5" customHeight="1" x14ac:dyDescent="0.25">
      <c r="A5" s="1" t="s">
        <v>10</v>
      </c>
      <c r="B5" s="2" t="str">
        <f t="shared" si="0"/>
        <v>Escenario81</v>
      </c>
      <c r="C5" s="1" t="s">
        <v>11</v>
      </c>
      <c r="D5" s="3" t="s">
        <v>18</v>
      </c>
      <c r="E5" s="1" t="s">
        <v>11</v>
      </c>
      <c r="F5" s="4">
        <f t="shared" si="1"/>
        <v>81</v>
      </c>
      <c r="G5" s="2">
        <v>81</v>
      </c>
      <c r="H5" s="2" t="s">
        <v>19</v>
      </c>
      <c r="I5" s="2">
        <v>2</v>
      </c>
      <c r="J5" s="2" t="s">
        <v>20</v>
      </c>
    </row>
    <row r="6" spans="1:10" ht="13.5" customHeight="1" x14ac:dyDescent="0.25">
      <c r="A6" s="1" t="s">
        <v>10</v>
      </c>
      <c r="B6" s="2" t="str">
        <f t="shared" si="0"/>
        <v>Escenario83</v>
      </c>
      <c r="C6" s="1" t="s">
        <v>11</v>
      </c>
      <c r="D6" s="3" t="s">
        <v>21</v>
      </c>
      <c r="E6" s="1" t="s">
        <v>11</v>
      </c>
      <c r="F6" s="4">
        <f t="shared" si="1"/>
        <v>83</v>
      </c>
      <c r="G6" s="2">
        <v>83</v>
      </c>
      <c r="H6" s="2" t="s">
        <v>22</v>
      </c>
      <c r="I6" s="2">
        <v>3</v>
      </c>
      <c r="J6" s="2" t="s">
        <v>23</v>
      </c>
    </row>
    <row r="7" spans="1:10" ht="13.5" customHeight="1" x14ac:dyDescent="0.25">
      <c r="A7" s="1" t="s">
        <v>10</v>
      </c>
      <c r="B7" s="2" t="str">
        <f t="shared" si="0"/>
        <v>Escenario141</v>
      </c>
      <c r="C7" s="1" t="s">
        <v>11</v>
      </c>
      <c r="D7" s="3" t="s">
        <v>24</v>
      </c>
      <c r="E7" s="1" t="s">
        <v>11</v>
      </c>
      <c r="F7" s="4">
        <f t="shared" si="1"/>
        <v>141</v>
      </c>
      <c r="G7" s="2">
        <v>141</v>
      </c>
      <c r="H7" s="2" t="s">
        <v>25</v>
      </c>
      <c r="I7" s="2">
        <v>4</v>
      </c>
      <c r="J7" s="2" t="s">
        <v>26</v>
      </c>
    </row>
    <row r="8" spans="1:10" ht="13.5" customHeight="1" x14ac:dyDescent="0.25">
      <c r="A8" s="1" t="s">
        <v>10</v>
      </c>
      <c r="B8" s="2" t="str">
        <f t="shared" si="0"/>
        <v>Escenario142</v>
      </c>
      <c r="C8" s="1" t="s">
        <v>11</v>
      </c>
      <c r="D8" s="3" t="s">
        <v>27</v>
      </c>
      <c r="E8" s="1" t="s">
        <v>11</v>
      </c>
      <c r="F8" s="4">
        <f t="shared" si="1"/>
        <v>142</v>
      </c>
      <c r="G8" s="2">
        <v>142</v>
      </c>
      <c r="H8" s="2" t="s">
        <v>28</v>
      </c>
      <c r="I8" s="2">
        <v>4</v>
      </c>
      <c r="J8" s="2" t="s">
        <v>26</v>
      </c>
    </row>
    <row r="9" spans="1:10" ht="13.5" customHeight="1" x14ac:dyDescent="0.25">
      <c r="A9" s="1" t="s">
        <v>10</v>
      </c>
      <c r="B9" s="2" t="str">
        <f t="shared" si="0"/>
        <v>Escenario151</v>
      </c>
      <c r="C9" s="1" t="s">
        <v>11</v>
      </c>
      <c r="D9" s="3" t="s">
        <v>29</v>
      </c>
      <c r="E9" s="1" t="s">
        <v>11</v>
      </c>
      <c r="F9" s="4">
        <f t="shared" si="1"/>
        <v>151</v>
      </c>
      <c r="G9" s="2">
        <v>151</v>
      </c>
      <c r="H9" s="2" t="s">
        <v>30</v>
      </c>
      <c r="I9" s="2">
        <v>5</v>
      </c>
      <c r="J9" s="2" t="s">
        <v>31</v>
      </c>
    </row>
    <row r="10" spans="1:10" ht="13.5" customHeight="1" x14ac:dyDescent="0.25">
      <c r="A10" s="1" t="s">
        <v>10</v>
      </c>
      <c r="B10" s="2" t="str">
        <f t="shared" si="0"/>
        <v>Escenario71</v>
      </c>
      <c r="C10" s="1" t="s">
        <v>11</v>
      </c>
      <c r="D10" s="3" t="s">
        <v>32</v>
      </c>
      <c r="E10" s="1" t="s">
        <v>11</v>
      </c>
      <c r="F10" s="4">
        <f t="shared" si="1"/>
        <v>71</v>
      </c>
      <c r="G10" s="2">
        <v>71</v>
      </c>
      <c r="H10" s="2" t="s">
        <v>33</v>
      </c>
      <c r="I10" s="2">
        <v>6</v>
      </c>
      <c r="J10" s="2" t="s">
        <v>34</v>
      </c>
    </row>
    <row r="11" spans="1:10" ht="13.5" customHeight="1" x14ac:dyDescent="0.25">
      <c r="A11" s="1" t="s">
        <v>10</v>
      </c>
      <c r="B11" s="2" t="str">
        <f t="shared" si="0"/>
        <v>Escenario72</v>
      </c>
      <c r="C11" s="1" t="s">
        <v>11</v>
      </c>
      <c r="D11" s="3" t="s">
        <v>35</v>
      </c>
      <c r="E11" s="1" t="s">
        <v>11</v>
      </c>
      <c r="F11" s="4">
        <f t="shared" si="1"/>
        <v>72</v>
      </c>
      <c r="G11" s="2">
        <v>72</v>
      </c>
      <c r="H11" s="2" t="s">
        <v>36</v>
      </c>
      <c r="I11" s="2">
        <v>6</v>
      </c>
      <c r="J11" s="2" t="s">
        <v>34</v>
      </c>
    </row>
    <row r="12" spans="1:10" ht="13.5" customHeight="1" x14ac:dyDescent="0.25">
      <c r="A12" s="1" t="s">
        <v>10</v>
      </c>
      <c r="B12" s="2" t="str">
        <f t="shared" si="0"/>
        <v>Escenario73</v>
      </c>
      <c r="C12" s="1" t="s">
        <v>11</v>
      </c>
      <c r="D12" s="3" t="s">
        <v>37</v>
      </c>
      <c r="E12" s="1" t="s">
        <v>11</v>
      </c>
      <c r="F12" s="4">
        <f t="shared" si="1"/>
        <v>73</v>
      </c>
      <c r="G12" s="2">
        <v>73</v>
      </c>
      <c r="H12" s="2" t="s">
        <v>38</v>
      </c>
      <c r="I12" s="2">
        <v>6</v>
      </c>
      <c r="J12" s="2" t="s">
        <v>34</v>
      </c>
    </row>
    <row r="13" spans="1:10" ht="13.5" customHeight="1" x14ac:dyDescent="0.25">
      <c r="A13" s="1" t="s">
        <v>10</v>
      </c>
      <c r="B13" s="2" t="str">
        <f t="shared" si="0"/>
        <v>Escenario74</v>
      </c>
      <c r="C13" s="1" t="s">
        <v>11</v>
      </c>
      <c r="D13" s="3" t="s">
        <v>39</v>
      </c>
      <c r="E13" s="1" t="s">
        <v>11</v>
      </c>
      <c r="F13" s="4">
        <f t="shared" si="1"/>
        <v>74</v>
      </c>
      <c r="G13" s="2">
        <v>74</v>
      </c>
      <c r="H13" s="2" t="s">
        <v>40</v>
      </c>
      <c r="I13" s="2">
        <v>6</v>
      </c>
      <c r="J13" s="2" t="s">
        <v>34</v>
      </c>
    </row>
    <row r="14" spans="1:10" ht="13.5" customHeight="1" x14ac:dyDescent="0.25">
      <c r="A14" s="1" t="s">
        <v>10</v>
      </c>
      <c r="B14" s="1" t="s">
        <v>41</v>
      </c>
      <c r="C14" s="1" t="s">
        <v>11</v>
      </c>
      <c r="D14" s="3" t="s">
        <v>42</v>
      </c>
      <c r="E14" s="1" t="s">
        <v>11</v>
      </c>
      <c r="F14" s="3" t="s">
        <v>42</v>
      </c>
      <c r="G14" s="1">
        <v>1</v>
      </c>
      <c r="H14" s="1" t="s">
        <v>8</v>
      </c>
      <c r="I14" s="1" t="s">
        <v>43</v>
      </c>
    </row>
    <row r="15" spans="1:10" ht="13.5" customHeight="1" x14ac:dyDescent="0.25">
      <c r="A15" s="1" t="s">
        <v>44</v>
      </c>
      <c r="B15" s="1" t="s">
        <v>45</v>
      </c>
      <c r="C15" s="1" t="s">
        <v>11</v>
      </c>
      <c r="D15" s="3" t="s">
        <v>42</v>
      </c>
      <c r="E15" s="1" t="s">
        <v>46</v>
      </c>
      <c r="F15" s="3" t="s">
        <v>47</v>
      </c>
      <c r="G15" s="1">
        <v>1000</v>
      </c>
      <c r="H15" s="1" t="s">
        <v>45</v>
      </c>
      <c r="I15" s="1" t="s">
        <v>48</v>
      </c>
    </row>
    <row r="16" spans="1:10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24"/>
  <sheetViews>
    <sheetView tabSelected="1" workbookViewId="0"/>
  </sheetViews>
  <sheetFormatPr baseColWidth="10" defaultColWidth="12.5703125" defaultRowHeight="15" customHeight="1" x14ac:dyDescent="0.25"/>
  <cols>
    <col min="2" max="13" width="6.42578125" customWidth="1"/>
  </cols>
  <sheetData>
    <row r="1" spans="1:14" x14ac:dyDescent="0.25">
      <c r="A1" s="3" t="s">
        <v>6</v>
      </c>
      <c r="B1" s="4" t="s">
        <v>13</v>
      </c>
      <c r="C1" s="4" t="s">
        <v>14</v>
      </c>
      <c r="D1" s="4" t="s">
        <v>17</v>
      </c>
      <c r="E1" s="4" t="s">
        <v>19</v>
      </c>
      <c r="F1" s="4" t="s">
        <v>22</v>
      </c>
      <c r="G1" s="4" t="s">
        <v>25</v>
      </c>
      <c r="H1" s="4" t="s">
        <v>28</v>
      </c>
      <c r="I1" s="4" t="s">
        <v>30</v>
      </c>
      <c r="J1" s="4" t="s">
        <v>33</v>
      </c>
      <c r="K1" s="4" t="s">
        <v>36</v>
      </c>
      <c r="L1" s="4" t="s">
        <v>38</v>
      </c>
      <c r="M1" s="4" t="s">
        <v>40</v>
      </c>
      <c r="N1" s="1" t="s">
        <v>45</v>
      </c>
    </row>
    <row r="2" spans="1:14" x14ac:dyDescent="0.25">
      <c r="A2" s="3" t="s">
        <v>49</v>
      </c>
      <c r="B2" s="4">
        <v>22</v>
      </c>
      <c r="C2" s="4">
        <v>21</v>
      </c>
      <c r="D2" s="4">
        <v>23</v>
      </c>
      <c r="E2" s="4">
        <v>81</v>
      </c>
      <c r="F2" s="4">
        <v>83</v>
      </c>
      <c r="G2" s="4">
        <v>141</v>
      </c>
      <c r="H2" s="4">
        <v>142</v>
      </c>
      <c r="I2" s="4">
        <v>151</v>
      </c>
      <c r="J2" s="4">
        <v>71</v>
      </c>
      <c r="K2" s="4">
        <v>72</v>
      </c>
      <c r="L2" s="4">
        <v>73</v>
      </c>
      <c r="M2" s="4">
        <v>74</v>
      </c>
      <c r="N2" s="1">
        <v>1000</v>
      </c>
    </row>
    <row r="3" spans="1:14" x14ac:dyDescent="0.25">
      <c r="A3" s="3">
        <v>2003</v>
      </c>
      <c r="B3" s="5">
        <v>2005</v>
      </c>
      <c r="C3" s="5">
        <v>2005</v>
      </c>
      <c r="D3" s="5">
        <v>2005</v>
      </c>
      <c r="E3" s="6"/>
      <c r="F3" s="3">
        <v>2004</v>
      </c>
      <c r="G3" s="3">
        <v>2004</v>
      </c>
      <c r="H3" s="3">
        <v>2004</v>
      </c>
      <c r="I3" s="6"/>
      <c r="J3" s="6"/>
      <c r="K3" s="6"/>
      <c r="L3" s="6"/>
      <c r="M3" s="6"/>
      <c r="N3" s="7">
        <v>2004</v>
      </c>
    </row>
    <row r="4" spans="1:14" x14ac:dyDescent="0.25">
      <c r="A4" s="3">
        <v>2004</v>
      </c>
      <c r="B4" s="5">
        <v>2005</v>
      </c>
      <c r="C4" s="5">
        <v>2005</v>
      </c>
      <c r="D4" s="5">
        <v>2005</v>
      </c>
      <c r="E4" s="6"/>
      <c r="F4" s="3">
        <v>2004</v>
      </c>
      <c r="G4" s="3">
        <v>2004</v>
      </c>
      <c r="H4" s="3">
        <v>2004</v>
      </c>
      <c r="I4" s="6"/>
      <c r="J4" s="6"/>
      <c r="K4" s="6"/>
      <c r="L4" s="6"/>
      <c r="M4" s="6"/>
      <c r="N4" s="7">
        <v>2004</v>
      </c>
    </row>
    <row r="5" spans="1:14" x14ac:dyDescent="0.25">
      <c r="A5" s="3">
        <v>2005</v>
      </c>
      <c r="B5" s="5">
        <v>2005</v>
      </c>
      <c r="C5" s="5">
        <v>2005</v>
      </c>
      <c r="D5" s="5">
        <v>2005</v>
      </c>
      <c r="E5" s="6"/>
      <c r="F5" s="3">
        <v>2004</v>
      </c>
      <c r="G5" s="3">
        <v>2004</v>
      </c>
      <c r="H5" s="3">
        <v>2004</v>
      </c>
      <c r="I5" s="6"/>
      <c r="J5" s="6"/>
      <c r="K5" s="6"/>
      <c r="L5" s="6"/>
      <c r="M5" s="6"/>
      <c r="N5" s="7">
        <v>2004</v>
      </c>
    </row>
    <row r="6" spans="1:14" x14ac:dyDescent="0.25">
      <c r="A6" s="8">
        <v>2006</v>
      </c>
      <c r="B6" s="5">
        <v>2005</v>
      </c>
      <c r="C6" s="5">
        <v>2005</v>
      </c>
      <c r="D6" s="5">
        <v>2005</v>
      </c>
      <c r="E6" s="3">
        <v>2007</v>
      </c>
      <c r="F6" s="3">
        <v>2007</v>
      </c>
      <c r="G6" s="3">
        <v>2007</v>
      </c>
      <c r="H6" s="3">
        <v>2007</v>
      </c>
      <c r="I6" s="6"/>
      <c r="J6" s="6"/>
      <c r="K6" s="6"/>
      <c r="L6" s="6"/>
      <c r="M6" s="6"/>
      <c r="N6" s="1">
        <v>2007</v>
      </c>
    </row>
    <row r="7" spans="1:14" x14ac:dyDescent="0.25">
      <c r="A7" s="3">
        <v>2007</v>
      </c>
      <c r="B7" s="3">
        <v>2008</v>
      </c>
      <c r="C7" s="3">
        <v>2008</v>
      </c>
      <c r="D7" s="3">
        <v>2008</v>
      </c>
      <c r="E7" s="3">
        <v>2007</v>
      </c>
      <c r="F7" s="3">
        <v>2007</v>
      </c>
      <c r="G7" s="3">
        <v>2007</v>
      </c>
      <c r="H7" s="3">
        <v>2007</v>
      </c>
      <c r="I7" s="6"/>
      <c r="J7" s="6"/>
      <c r="K7" s="6"/>
      <c r="L7" s="6"/>
      <c r="M7" s="6"/>
      <c r="N7" s="1">
        <v>2007</v>
      </c>
    </row>
    <row r="8" spans="1:14" x14ac:dyDescent="0.25">
      <c r="A8" s="3">
        <v>2008</v>
      </c>
      <c r="B8" s="3">
        <v>2008</v>
      </c>
      <c r="C8" s="3">
        <v>2008</v>
      </c>
      <c r="D8" s="3">
        <v>2008</v>
      </c>
      <c r="E8" s="3">
        <v>2007</v>
      </c>
      <c r="F8" s="3">
        <v>2007</v>
      </c>
      <c r="G8" s="3">
        <v>2007</v>
      </c>
      <c r="H8" s="3">
        <v>2007</v>
      </c>
      <c r="I8" s="9">
        <v>2010</v>
      </c>
      <c r="J8" s="6"/>
      <c r="K8" s="6"/>
      <c r="L8" s="6"/>
      <c r="M8" s="6"/>
      <c r="N8" s="1">
        <v>2007</v>
      </c>
    </row>
    <row r="9" spans="1:14" x14ac:dyDescent="0.25">
      <c r="A9" s="3">
        <v>2009</v>
      </c>
      <c r="B9" s="3">
        <v>2008</v>
      </c>
      <c r="C9" s="3">
        <v>2008</v>
      </c>
      <c r="D9" s="3">
        <v>2008</v>
      </c>
      <c r="E9" s="3">
        <v>2010</v>
      </c>
      <c r="F9" s="3">
        <v>2010</v>
      </c>
      <c r="G9" s="3">
        <v>2010</v>
      </c>
      <c r="H9" s="3">
        <v>2010</v>
      </c>
      <c r="I9" s="9">
        <v>2010</v>
      </c>
      <c r="J9" s="6"/>
      <c r="K9" s="6"/>
      <c r="L9" s="6"/>
      <c r="M9" s="6"/>
      <c r="N9" s="10">
        <v>2011</v>
      </c>
    </row>
    <row r="10" spans="1:14" x14ac:dyDescent="0.25">
      <c r="A10" s="3">
        <v>2010</v>
      </c>
      <c r="B10" s="3">
        <v>2011</v>
      </c>
      <c r="C10" s="3">
        <v>2011</v>
      </c>
      <c r="D10" s="3">
        <v>2011</v>
      </c>
      <c r="E10" s="3">
        <v>2010</v>
      </c>
      <c r="F10" s="3">
        <v>2010</v>
      </c>
      <c r="G10" s="3">
        <v>2010</v>
      </c>
      <c r="H10" s="3">
        <v>2010</v>
      </c>
      <c r="I10" s="9">
        <v>2010</v>
      </c>
      <c r="J10" s="6"/>
      <c r="K10" s="6"/>
      <c r="L10" s="6"/>
      <c r="M10" s="6"/>
      <c r="N10" s="10">
        <v>2011</v>
      </c>
    </row>
    <row r="11" spans="1:14" x14ac:dyDescent="0.25">
      <c r="A11" s="3">
        <v>2011</v>
      </c>
      <c r="B11" s="3">
        <v>2011</v>
      </c>
      <c r="C11" s="3">
        <v>2011</v>
      </c>
      <c r="D11" s="3">
        <v>2011</v>
      </c>
      <c r="E11" s="3">
        <v>2010</v>
      </c>
      <c r="F11" s="3">
        <v>2010</v>
      </c>
      <c r="G11" s="3">
        <v>2010</v>
      </c>
      <c r="H11" s="3">
        <v>2010</v>
      </c>
      <c r="I11" s="9">
        <v>2010</v>
      </c>
      <c r="J11" s="6"/>
      <c r="K11" s="6"/>
      <c r="L11" s="6"/>
      <c r="M11" s="6"/>
      <c r="N11" s="10">
        <v>2011</v>
      </c>
    </row>
    <row r="12" spans="1:14" x14ac:dyDescent="0.25">
      <c r="A12" s="3">
        <v>2012</v>
      </c>
      <c r="B12" s="3">
        <v>2011</v>
      </c>
      <c r="C12" s="3">
        <v>2011</v>
      </c>
      <c r="D12" s="3">
        <v>2011</v>
      </c>
      <c r="E12" s="6"/>
      <c r="F12" s="3">
        <v>2012</v>
      </c>
      <c r="G12" s="3">
        <v>2013</v>
      </c>
      <c r="H12" s="3">
        <v>2013</v>
      </c>
      <c r="I12" s="3">
        <v>2013</v>
      </c>
      <c r="J12" s="6"/>
      <c r="K12" s="6"/>
      <c r="L12" s="6"/>
      <c r="M12" s="6"/>
      <c r="N12" s="10">
        <v>2011</v>
      </c>
    </row>
    <row r="13" spans="1:14" x14ac:dyDescent="0.25">
      <c r="A13" s="8">
        <v>2013</v>
      </c>
      <c r="B13" s="3">
        <v>2014</v>
      </c>
      <c r="C13" s="3">
        <v>2014</v>
      </c>
      <c r="D13" s="3">
        <v>2014</v>
      </c>
      <c r="E13" s="6"/>
      <c r="F13" s="3">
        <v>2012</v>
      </c>
      <c r="G13" s="3">
        <v>2013</v>
      </c>
      <c r="H13" s="3">
        <v>2013</v>
      </c>
      <c r="I13" s="3">
        <v>2013</v>
      </c>
      <c r="J13" s="6"/>
      <c r="K13" s="6"/>
      <c r="L13" s="6"/>
      <c r="M13" s="6"/>
      <c r="N13" s="1">
        <v>2014</v>
      </c>
    </row>
    <row r="14" spans="1:14" x14ac:dyDescent="0.25">
      <c r="A14" s="3">
        <v>2014</v>
      </c>
      <c r="B14" s="3">
        <v>2014</v>
      </c>
      <c r="C14" s="3">
        <v>2014</v>
      </c>
      <c r="D14" s="3">
        <v>2014</v>
      </c>
      <c r="E14" s="6"/>
      <c r="F14" s="3">
        <v>2012</v>
      </c>
      <c r="G14" s="3">
        <v>2013</v>
      </c>
      <c r="H14" s="3">
        <v>2013</v>
      </c>
      <c r="I14" s="3">
        <v>2013</v>
      </c>
      <c r="J14" s="6"/>
      <c r="K14" s="6"/>
      <c r="L14" s="6"/>
      <c r="M14" s="6"/>
      <c r="N14" s="1">
        <v>2014</v>
      </c>
    </row>
    <row r="15" spans="1:14" x14ac:dyDescent="0.25">
      <c r="A15" s="3">
        <v>2015</v>
      </c>
      <c r="B15" s="3">
        <v>2014</v>
      </c>
      <c r="C15" s="3">
        <v>2014</v>
      </c>
      <c r="D15" s="3">
        <v>2014</v>
      </c>
      <c r="E15" s="6"/>
      <c r="F15" s="6"/>
      <c r="G15" s="3">
        <v>2016</v>
      </c>
      <c r="H15" s="3">
        <v>2016</v>
      </c>
      <c r="I15" s="9">
        <v>2017</v>
      </c>
      <c r="J15" s="6"/>
      <c r="K15" s="6"/>
      <c r="L15" s="6"/>
      <c r="M15" s="6"/>
      <c r="N15" s="1">
        <v>2014</v>
      </c>
    </row>
    <row r="16" spans="1:14" x14ac:dyDescent="0.25">
      <c r="A16" s="3">
        <v>2016</v>
      </c>
      <c r="B16" s="6"/>
      <c r="C16" s="6"/>
      <c r="D16" s="6"/>
      <c r="E16" s="6"/>
      <c r="F16" s="6"/>
      <c r="G16" s="3">
        <v>2016</v>
      </c>
      <c r="H16" s="3">
        <v>2016</v>
      </c>
      <c r="I16" s="9">
        <v>2017</v>
      </c>
      <c r="J16" s="6"/>
      <c r="K16" s="6"/>
      <c r="L16" s="6"/>
      <c r="M16" s="6"/>
      <c r="N16" s="7">
        <v>2017</v>
      </c>
    </row>
    <row r="17" spans="1:14" x14ac:dyDescent="0.25">
      <c r="A17" s="3">
        <v>2017</v>
      </c>
      <c r="B17" s="6"/>
      <c r="C17" s="6"/>
      <c r="D17" s="6"/>
      <c r="E17" s="6"/>
      <c r="F17" s="6"/>
      <c r="G17" s="3">
        <v>2016</v>
      </c>
      <c r="H17" s="3">
        <v>2016</v>
      </c>
      <c r="I17" s="9">
        <v>2017</v>
      </c>
      <c r="J17" s="3">
        <v>2018</v>
      </c>
      <c r="K17" s="3">
        <v>2018</v>
      </c>
      <c r="L17" s="3">
        <v>2018</v>
      </c>
      <c r="M17" s="3">
        <v>2018</v>
      </c>
      <c r="N17" s="7">
        <v>2017</v>
      </c>
    </row>
    <row r="18" spans="1:14" x14ac:dyDescent="0.25">
      <c r="A18" s="3">
        <v>2018</v>
      </c>
      <c r="B18" s="6"/>
      <c r="C18" s="6"/>
      <c r="D18" s="6"/>
      <c r="E18" s="6"/>
      <c r="F18" s="6"/>
      <c r="G18" s="6"/>
      <c r="H18" s="6"/>
      <c r="I18" s="9">
        <v>2017</v>
      </c>
      <c r="J18" s="3">
        <v>2018</v>
      </c>
      <c r="K18" s="3">
        <v>2018</v>
      </c>
      <c r="L18" s="3">
        <v>2018</v>
      </c>
      <c r="M18" s="3">
        <v>2018</v>
      </c>
      <c r="N18" s="7">
        <v>2017</v>
      </c>
    </row>
    <row r="19" spans="1:14" x14ac:dyDescent="0.25">
      <c r="A19" s="3">
        <v>2019</v>
      </c>
      <c r="B19" s="6"/>
      <c r="C19" s="6"/>
      <c r="D19" s="6"/>
      <c r="E19" s="6"/>
      <c r="F19" s="6"/>
      <c r="G19" s="6"/>
      <c r="H19" s="6"/>
      <c r="I19" s="6"/>
      <c r="J19" s="3">
        <v>2018</v>
      </c>
      <c r="K19" s="3">
        <v>2018</v>
      </c>
      <c r="L19" s="3">
        <v>2018</v>
      </c>
      <c r="M19" s="3">
        <v>2018</v>
      </c>
      <c r="N19" s="1">
        <v>2020</v>
      </c>
    </row>
    <row r="20" spans="1:14" x14ac:dyDescent="0.25">
      <c r="A20" s="3">
        <v>2020</v>
      </c>
      <c r="N20" s="1">
        <v>2020</v>
      </c>
    </row>
    <row r="21" spans="1:14" x14ac:dyDescent="0.25">
      <c r="A21" s="3">
        <v>2021</v>
      </c>
      <c r="N21" s="1">
        <v>2020</v>
      </c>
    </row>
    <row r="22" spans="1:14" x14ac:dyDescent="0.25">
      <c r="A22" s="3">
        <v>2022</v>
      </c>
      <c r="N22" s="7">
        <v>2023</v>
      </c>
    </row>
    <row r="23" spans="1:14" x14ac:dyDescent="0.25">
      <c r="A23" s="3">
        <v>2023</v>
      </c>
      <c r="N23" s="7">
        <v>2023</v>
      </c>
    </row>
    <row r="24" spans="1:14" x14ac:dyDescent="0.25">
      <c r="A24" s="3">
        <v>2024</v>
      </c>
      <c r="N24" s="7">
        <v>2023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Escenarios</vt:lpstr>
      <vt:lpstr>Periodos RPC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Lagos</dc:creator>
  <cp:lastModifiedBy>Rene Alonso Lagos Barrios (rlagos)</cp:lastModifiedBy>
  <dcterms:created xsi:type="dcterms:W3CDTF">2025-03-28T13:41:15Z</dcterms:created>
  <dcterms:modified xsi:type="dcterms:W3CDTF">2026-01-26T15:51:56Z</dcterms:modified>
</cp:coreProperties>
</file>